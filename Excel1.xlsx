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96B5D567-BA87-4BC0-BE22-BB9C5DF258F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Assumptions" sheetId="1" r:id="rId1"/>
    <sheet name="Model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2" l="1"/>
  <c r="B30" i="2"/>
  <c r="E23" i="2"/>
  <c r="D24" i="2"/>
  <c r="C24" i="2"/>
  <c r="E22" i="2"/>
  <c r="D22" i="2"/>
  <c r="C22" i="2"/>
  <c r="D23" i="2"/>
  <c r="C23" i="2"/>
  <c r="E19" i="2"/>
  <c r="D19" i="2"/>
  <c r="C19" i="2"/>
  <c r="B5" i="2"/>
  <c r="B7" i="2" s="1"/>
  <c r="B9" i="2" s="1"/>
  <c r="B11" i="2" s="1"/>
  <c r="C3" i="2"/>
  <c r="C4" i="2" l="1"/>
  <c r="C5" i="2" s="1"/>
  <c r="C7" i="2" s="1"/>
  <c r="C9" i="2" s="1"/>
  <c r="D3" i="2"/>
  <c r="B12" i="2"/>
  <c r="B13" i="2" s="1"/>
  <c r="D4" i="2" l="1"/>
  <c r="D5" i="2" s="1"/>
  <c r="D7" i="2" s="1"/>
  <c r="D9" i="2" s="1"/>
  <c r="E3" i="2"/>
  <c r="C16" i="2"/>
  <c r="C11" i="2"/>
  <c r="C12" i="2" l="1"/>
  <c r="C13" i="2" s="1"/>
  <c r="C17" i="2"/>
  <c r="C18" i="2" s="1"/>
  <c r="E4" i="2"/>
  <c r="E5" i="2" s="1"/>
  <c r="E7" i="2" s="1"/>
  <c r="E9" i="2" s="1"/>
  <c r="D16" i="2"/>
  <c r="D11" i="2"/>
  <c r="D12" i="2" l="1"/>
  <c r="D13" i="2" s="1"/>
  <c r="D17" i="2"/>
  <c r="D18" i="2" s="1"/>
  <c r="E16" i="2"/>
  <c r="E11" i="2"/>
  <c r="E12" i="2" l="1"/>
  <c r="E13" i="2" s="1"/>
  <c r="E17" i="2"/>
  <c r="E18" i="2" s="1"/>
  <c r="B28" i="2"/>
  <c r="B29" i="2" s="1"/>
  <c r="E24" i="2"/>
  <c r="B27" i="2"/>
</calcChain>
</file>

<file path=xl/sharedStrings.xml><?xml version="1.0" encoding="utf-8"?>
<sst xmlns="http://schemas.openxmlformats.org/spreadsheetml/2006/main" count="52" uniqueCount="44">
  <si>
    <t>Assumption</t>
  </si>
  <si>
    <t>Unit</t>
  </si>
  <si>
    <t>2025 Proj</t>
  </si>
  <si>
    <t>2026 Proj</t>
  </si>
  <si>
    <t>2027 Proj</t>
  </si>
  <si>
    <t>Active Scenario Toggle</t>
  </si>
  <si>
    <t>[1=Base]</t>
  </si>
  <si>
    <t>Contract Volume Growth</t>
  </si>
  <si>
    <t>%</t>
  </si>
  <si>
    <t>Construction COGS Margin</t>
  </si>
  <si>
    <t>Tax Rate</t>
  </si>
  <si>
    <t>WACC (Discount Rate)</t>
  </si>
  <si>
    <t>Terminal Growth Rate</t>
  </si>
  <si>
    <t>Financials (In 000s)</t>
  </si>
  <si>
    <t>2024 Actual</t>
  </si>
  <si>
    <t>INCOME STATEMENT</t>
  </si>
  <si>
    <t>Revenue</t>
  </si>
  <si>
    <t>COGS (Labor &amp; Materials)</t>
  </si>
  <si>
    <t>Gross Profit</t>
  </si>
  <si>
    <t>SG&amp;A (C-5 Admin &amp; Licensing)</t>
  </si>
  <si>
    <t>EBITDA</t>
  </si>
  <si>
    <t>Depreciation</t>
  </si>
  <si>
    <t>EBIT</t>
  </si>
  <si>
    <t>Interest Expense</t>
  </si>
  <si>
    <t>EBT</t>
  </si>
  <si>
    <t>Taxes</t>
  </si>
  <si>
    <t>Net Income</t>
  </si>
  <si>
    <t>DCF VALUATION ENGINE</t>
  </si>
  <si>
    <t>Less: Taxes on EBIT</t>
  </si>
  <si>
    <t>NOPAT</t>
  </si>
  <si>
    <t>Add: Depreciation</t>
  </si>
  <si>
    <t>Less: Heavy Machinery CAPEX</t>
  </si>
  <si>
    <t>Less: Change in NWC</t>
  </si>
  <si>
    <t>Unlevered Free Cash Flow (UFCF)</t>
  </si>
  <si>
    <t>Discount Factor</t>
  </si>
  <si>
    <t>Present Value of UFCF</t>
  </si>
  <si>
    <t>ENTERPRISE VALUE ROLLUP</t>
  </si>
  <si>
    <t>Sum of PV of UFCF</t>
  </si>
  <si>
    <t>Terminal Value (Gordon Growth)</t>
  </si>
  <si>
    <t>PV of Terminal Value</t>
  </si>
  <si>
    <t>Implied Enterprise Value</t>
  </si>
  <si>
    <t>Less: Total Debt</t>
  </si>
  <si>
    <t>Add: Cash</t>
  </si>
  <si>
    <t>Implied 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</si>
</sst>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ump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3" sqref="C3:E7"/>
    </sheetView>
  </sheetViews>
  <sheetFormatPr defaultRowHeight="15"/>
  <cols>
    <col min="1" max="1" width="24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</v>
      </c>
      <c r="E2">
        <v>1</v>
      </c>
    </row>
    <row r="3" spans="1:5">
      <c r="A3" t="s">
        <v>7</v>
      </c>
      <c r="B3" t="s">
        <v>8</v>
      </c>
      <c r="C3" s="1">
        <v>0.08</v>
      </c>
      <c r="D3" s="1">
        <v>0.1</v>
      </c>
      <c r="E3" s="1">
        <v>0.12</v>
      </c>
    </row>
    <row r="4" spans="1:5">
      <c r="A4" t="s">
        <v>9</v>
      </c>
      <c r="B4" t="s">
        <v>8</v>
      </c>
      <c r="C4" s="1">
        <v>0.7</v>
      </c>
      <c r="D4" s="1">
        <v>0.68</v>
      </c>
      <c r="E4" s="1">
        <v>0.68</v>
      </c>
    </row>
    <row r="5" spans="1:5">
      <c r="A5" t="s">
        <v>10</v>
      </c>
      <c r="B5" t="s">
        <v>8</v>
      </c>
      <c r="C5" s="1">
        <v>0.28999999999999998</v>
      </c>
      <c r="D5" s="1">
        <v>0.28999999999999998</v>
      </c>
      <c r="E5" s="1">
        <v>0.28999999999999998</v>
      </c>
    </row>
    <row r="6" spans="1:5">
      <c r="A6" t="s">
        <v>11</v>
      </c>
      <c r="B6" t="s">
        <v>8</v>
      </c>
      <c r="C6" s="1">
        <v>0.15</v>
      </c>
      <c r="D6" s="1">
        <v>0.15</v>
      </c>
      <c r="E6" s="1">
        <v>0.15</v>
      </c>
    </row>
    <row r="7" spans="1:5">
      <c r="A7" t="s">
        <v>12</v>
      </c>
      <c r="B7" t="s">
        <v>8</v>
      </c>
      <c r="C7" s="1">
        <v>0.03</v>
      </c>
      <c r="D7" s="1">
        <v>0.03</v>
      </c>
      <c r="E7" s="1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0898-F8D4-4331-A6D9-636175907C5F}">
  <dimension ref="A1:E33"/>
  <sheetViews>
    <sheetView tabSelected="1" workbookViewId="0">
      <selection activeCell="B34" sqref="B34"/>
    </sheetView>
  </sheetViews>
  <sheetFormatPr defaultRowHeight="15"/>
  <cols>
    <col min="1" max="1" width="29.7109375" bestFit="1" customWidth="1"/>
    <col min="2" max="2" width="32" customWidth="1"/>
  </cols>
  <sheetData>
    <row r="1" spans="1:5">
      <c r="A1" t="s">
        <v>13</v>
      </c>
      <c r="B1" t="s">
        <v>14</v>
      </c>
      <c r="C1" t="s">
        <v>2</v>
      </c>
      <c r="D1" t="s">
        <v>3</v>
      </c>
      <c r="E1" t="s">
        <v>4</v>
      </c>
    </row>
    <row r="2" spans="1:5">
      <c r="A2" t="s">
        <v>15</v>
      </c>
    </row>
    <row r="3" spans="1:5">
      <c r="A3" t="s">
        <v>16</v>
      </c>
      <c r="B3">
        <v>100000</v>
      </c>
      <c r="C3">
        <f>B3*(1+Assumptions!C3)</f>
        <v>108000</v>
      </c>
      <c r="D3">
        <f>C3*(1+Assumptions!D3)</f>
        <v>118800.00000000001</v>
      </c>
      <c r="E3">
        <f>D3*(1+Assumptions!E3)</f>
        <v>133056.00000000003</v>
      </c>
    </row>
    <row r="4" spans="1:5">
      <c r="A4" t="s">
        <v>17</v>
      </c>
      <c r="B4">
        <v>-72000</v>
      </c>
      <c r="C4">
        <f>-C3*Assumptions!C4</f>
        <v>-75600</v>
      </c>
      <c r="D4">
        <f>-D3*Assumptions!D4</f>
        <v>-80784.000000000015</v>
      </c>
      <c r="E4">
        <f>-E3*Assumptions!E4</f>
        <v>-90478.080000000031</v>
      </c>
    </row>
    <row r="5" spans="1:5">
      <c r="A5" t="s">
        <v>18</v>
      </c>
      <c r="B5">
        <f>SUM(B3:B4)</f>
        <v>28000</v>
      </c>
      <c r="C5">
        <f>SUM(C3:C4)</f>
        <v>32400</v>
      </c>
      <c r="D5">
        <f>SUM(D3:D4)</f>
        <v>38016</v>
      </c>
      <c r="E5">
        <f>SUM(E3:E4)</f>
        <v>42577.919999999998</v>
      </c>
    </row>
    <row r="6" spans="1:5">
      <c r="A6" t="s">
        <v>19</v>
      </c>
      <c r="B6">
        <v>-15000</v>
      </c>
      <c r="C6">
        <v>-16000</v>
      </c>
      <c r="D6">
        <v>-17500</v>
      </c>
      <c r="E6">
        <v>-19000</v>
      </c>
    </row>
    <row r="7" spans="1:5">
      <c r="A7" t="s">
        <v>20</v>
      </c>
      <c r="B7">
        <f>SUM(B5:B6)</f>
        <v>13000</v>
      </c>
      <c r="C7">
        <f>SUM(C5:C6)</f>
        <v>16400</v>
      </c>
      <c r="D7">
        <f>SUM(D5:D6)</f>
        <v>20516</v>
      </c>
      <c r="E7">
        <f>SUM(E5:E6)</f>
        <v>23577.919999999998</v>
      </c>
    </row>
    <row r="8" spans="1:5">
      <c r="A8" t="s">
        <v>21</v>
      </c>
      <c r="B8">
        <v>-5000</v>
      </c>
      <c r="C8">
        <v>-5500</v>
      </c>
      <c r="D8">
        <v>-6000</v>
      </c>
      <c r="E8">
        <v>-6000</v>
      </c>
    </row>
    <row r="9" spans="1:5">
      <c r="A9" t="s">
        <v>22</v>
      </c>
      <c r="B9">
        <f>SUM(B7:B8)</f>
        <v>8000</v>
      </c>
      <c r="C9">
        <f>SUM(C7:C8)</f>
        <v>10900</v>
      </c>
      <c r="D9">
        <f>SUM(D7:D8)</f>
        <v>14516</v>
      </c>
      <c r="E9">
        <f>SUM(E7:E8)</f>
        <v>17577.919999999998</v>
      </c>
    </row>
    <row r="10" spans="1:5">
      <c r="A10" t="s">
        <v>23</v>
      </c>
      <c r="B10">
        <v>-2000</v>
      </c>
      <c r="C10">
        <v>-1800</v>
      </c>
      <c r="D10">
        <v>-1500</v>
      </c>
      <c r="E10">
        <v>-1000</v>
      </c>
    </row>
    <row r="11" spans="1:5">
      <c r="A11" t="s">
        <v>24</v>
      </c>
      <c r="B11">
        <f>SUM(B9:B10)</f>
        <v>6000</v>
      </c>
      <c r="C11">
        <f>SUM(C9:C10)</f>
        <v>9100</v>
      </c>
      <c r="D11">
        <f>SUM(D9:D10)</f>
        <v>13016</v>
      </c>
      <c r="E11">
        <f>SUM(E9:E10)</f>
        <v>16577.919999999998</v>
      </c>
    </row>
    <row r="12" spans="1:5">
      <c r="A12" t="s">
        <v>25</v>
      </c>
      <c r="B12">
        <f>B11*-0.29</f>
        <v>-1739.9999999999998</v>
      </c>
      <c r="C12">
        <f>-C11*Assumptions!C5</f>
        <v>-2639</v>
      </c>
      <c r="D12">
        <f>-D11*Assumptions!D5</f>
        <v>-3774.64</v>
      </c>
      <c r="E12">
        <f>-E11*Assumptions!E5</f>
        <v>-4807.5967999999993</v>
      </c>
    </row>
    <row r="13" spans="1:5">
      <c r="A13" t="s">
        <v>26</v>
      </c>
      <c r="B13">
        <f>SUM(B11:B12)</f>
        <v>4260</v>
      </c>
      <c r="C13">
        <f>SUM(C11:C12)</f>
        <v>6461</v>
      </c>
      <c r="D13">
        <f>SUM(D11:D12)</f>
        <v>9241.36</v>
      </c>
      <c r="E13">
        <f>SUM(E11:E12)</f>
        <v>11770.323199999999</v>
      </c>
    </row>
    <row r="15" spans="1:5">
      <c r="A15" t="s">
        <v>27</v>
      </c>
    </row>
    <row r="16" spans="1:5">
      <c r="A16" t="s">
        <v>22</v>
      </c>
      <c r="C16">
        <f>C9</f>
        <v>10900</v>
      </c>
      <c r="D16">
        <f>D9</f>
        <v>14516</v>
      </c>
      <c r="E16">
        <f>E9</f>
        <v>17577.919999999998</v>
      </c>
    </row>
    <row r="17" spans="1:5">
      <c r="A17" t="s">
        <v>28</v>
      </c>
      <c r="C17">
        <f>C16*-Assumptions!C5</f>
        <v>-3161</v>
      </c>
      <c r="D17">
        <f>D16*-Assumptions!D5</f>
        <v>-4209.6399999999994</v>
      </c>
      <c r="E17">
        <f>E16*-Assumptions!E5</f>
        <v>-5097.5967999999993</v>
      </c>
    </row>
    <row r="18" spans="1:5">
      <c r="A18" t="s">
        <v>29</v>
      </c>
      <c r="C18">
        <f>SUM(C16:C17)</f>
        <v>7739</v>
      </c>
      <c r="D18">
        <f>SUM(D16:D17)</f>
        <v>10306.36</v>
      </c>
      <c r="E18">
        <f>SUM(E16:E17)</f>
        <v>12480.323199999999</v>
      </c>
    </row>
    <row r="19" spans="1:5">
      <c r="A19" t="s">
        <v>30</v>
      </c>
      <c r="C19">
        <f>-C8</f>
        <v>5500</v>
      </c>
      <c r="D19">
        <f>-D8</f>
        <v>6000</v>
      </c>
      <c r="E19">
        <f>-E8</f>
        <v>6000</v>
      </c>
    </row>
    <row r="20" spans="1:5">
      <c r="A20" t="s">
        <v>31</v>
      </c>
      <c r="C20">
        <v>-8000</v>
      </c>
      <c r="D20">
        <v>-9000</v>
      </c>
      <c r="E20">
        <v>-5000</v>
      </c>
    </row>
    <row r="21" spans="1:5">
      <c r="A21" t="s">
        <v>32</v>
      </c>
      <c r="C21">
        <v>-1500</v>
      </c>
      <c r="D21">
        <v>-2000</v>
      </c>
      <c r="E21">
        <v>-2500</v>
      </c>
    </row>
    <row r="22" spans="1:5">
      <c r="A22" t="s">
        <v>33</v>
      </c>
      <c r="C22">
        <f>SUM(C18:C21)</f>
        <v>3739</v>
      </c>
      <c r="D22">
        <f>SUM(D18:D21)</f>
        <v>5306.3600000000006</v>
      </c>
      <c r="E22">
        <f>SUM(E18:E21)</f>
        <v>10980.323199999999</v>
      </c>
    </row>
    <row r="23" spans="1:5">
      <c r="A23" t="s">
        <v>34</v>
      </c>
      <c r="C23">
        <f>1/((1+Assumptions!C6)^1)</f>
        <v>0.86956521739130443</v>
      </c>
      <c r="D23">
        <f>1/((1+Assumptions!C6)^2)</f>
        <v>0.7561436672967865</v>
      </c>
      <c r="E23">
        <f>1/((1+Assumptions!C6)^3)</f>
        <v>0.65751623243198831</v>
      </c>
    </row>
    <row r="24" spans="1:5">
      <c r="A24" t="s">
        <v>35</v>
      </c>
      <c r="C24">
        <f>C22*C23</f>
        <v>3251.3043478260875</v>
      </c>
      <c r="D24">
        <f>D22*D23</f>
        <v>4012.3705103969764</v>
      </c>
      <c r="E24">
        <f>E22*E23</f>
        <v>7219.740741349553</v>
      </c>
    </row>
    <row r="26" spans="1:5">
      <c r="A26" t="s">
        <v>36</v>
      </c>
    </row>
    <row r="27" spans="1:5">
      <c r="A27" t="s">
        <v>37</v>
      </c>
      <c r="B27">
        <f>SUM(C24:E24)</f>
        <v>14483.415599572618</v>
      </c>
    </row>
    <row r="28" spans="1:5">
      <c r="A28" t="s">
        <v>38</v>
      </c>
      <c r="B28">
        <f>(E23*(1+Assumptions!C7))/(Assumptions!C6-Assumptions!C7)</f>
        <v>5.6436809950412332</v>
      </c>
    </row>
    <row r="29" spans="1:5">
      <c r="A29" t="s">
        <v>39</v>
      </c>
      <c r="B29">
        <f>B28*E23</f>
        <v>3.7108118649075266</v>
      </c>
    </row>
    <row r="30" spans="1:5">
      <c r="A30" t="s">
        <v>40</v>
      </c>
      <c r="B30">
        <f>B27+B29</f>
        <v>14487.126411437524</v>
      </c>
    </row>
    <row r="31" spans="1:5">
      <c r="A31" t="s">
        <v>41</v>
      </c>
      <c r="B31">
        <v>-15000</v>
      </c>
    </row>
    <row r="32" spans="1:5">
      <c r="A32" t="s">
        <v>42</v>
      </c>
      <c r="B32">
        <v>8000</v>
      </c>
    </row>
    <row r="33" spans="1:2">
      <c r="A33" t="s">
        <v>43</v>
      </c>
      <c r="B33">
        <f>B30+B31+B32</f>
        <v>7487.1264114375244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2026-05-19T04:13:31Z</dcterms:created>
  <dcterms:modified xsi:type="dcterms:W3CDTF">2026-05-19T05:03:49Z</dcterms:modified>
  <cp:category/>
  <cp:contentStatus/>
</cp:coreProperties>
</file>